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id\Desktop\"/>
    </mc:Choice>
  </mc:AlternateContent>
  <xr:revisionPtr revIDLastSave="0" documentId="13_ncr:1_{E71A3A9B-23A7-466D-8EA0-6436A1D73667}" xr6:coauthVersionLast="47" xr6:coauthVersionMax="47" xr10:uidLastSave="{00000000-0000-0000-0000-000000000000}"/>
  <bookViews>
    <workbookView xWindow="-108" yWindow="-108" windowWidth="23256" windowHeight="12576" activeTab="1" xr2:uid="{75190BA3-3725-4E28-8238-DDF71CBD5FB4}"/>
  </bookViews>
  <sheets>
    <sheet name="modèle mathématique" sheetId="1" r:id="rId1"/>
    <sheet name="Méthode manuelle" sheetId="3" r:id="rId2"/>
    <sheet name="solveur" sheetId="2" r:id="rId3"/>
  </sheets>
  <definedNames>
    <definedName name="solver_adj" localSheetId="2" hidden="1">solveur!$M$11:$P$13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solveur!$M$11:$P$13</definedName>
    <definedName name="solver_lhs2" localSheetId="2" hidden="1">solveur!$M$14:$P$14</definedName>
    <definedName name="solver_lhs3" localSheetId="2" hidden="1">solveur!$Q$11:$Q$13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solveur!$B$9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3</definedName>
    <definedName name="solver_rel3" localSheetId="2" hidden="1">1</definedName>
    <definedName name="solver_rhs1" localSheetId="2" hidden="1">0</definedName>
    <definedName name="solver_rhs2" localSheetId="2" hidden="1">solveur!$K$1:$K$4</definedName>
    <definedName name="solver_rhs3" localSheetId="2" hidden="1">solveur!$H$1:$H$3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P14" i="2"/>
  <c r="N14" i="2"/>
  <c r="O14" i="2"/>
  <c r="M14" i="2"/>
  <c r="Q13" i="2"/>
  <c r="Q12" i="2"/>
  <c r="Q11" i="2"/>
</calcChain>
</file>

<file path=xl/sharedStrings.xml><?xml version="1.0" encoding="utf-8"?>
<sst xmlns="http://schemas.openxmlformats.org/spreadsheetml/2006/main" count="45" uniqueCount="23">
  <si>
    <t>soit Qij la quantité envoyée de l'usine i vers l'entrepot j avec i appartient à (X,Y,Z) et j appartient à(A,B,C,D)</t>
  </si>
  <si>
    <t>soit Cij le cout de transport de l'usine I vers l'entrepot j</t>
  </si>
  <si>
    <t>soit Pi la production de chaque usine i</t>
  </si>
  <si>
    <t>soit Dj la demande de chaque entrepot j</t>
  </si>
  <si>
    <r>
      <t xml:space="preserve">fonction objective: min( </t>
    </r>
    <r>
      <rPr>
        <sz val="11"/>
        <color theme="1"/>
        <rFont val="Aptos Narrow"/>
        <family val="2"/>
      </rPr>
      <t>Σ Σ Qij*Cij)</t>
    </r>
  </si>
  <si>
    <t>contrainte demande: soit pour tout  j Σ Qij&gt;= Dj</t>
  </si>
  <si>
    <t>Contrainte capacité: soit pour tout i Σ Qij&lt;= Pi</t>
  </si>
  <si>
    <t>contrainte de positivité: pour tout ij Qij &gt;=0</t>
  </si>
  <si>
    <t/>
  </si>
  <si>
    <t>A</t>
  </si>
  <si>
    <t>B</t>
  </si>
  <si>
    <t>C</t>
  </si>
  <si>
    <t>D</t>
  </si>
  <si>
    <t>X</t>
  </si>
  <si>
    <t>Y</t>
  </si>
  <si>
    <t>Z</t>
  </si>
  <si>
    <t xml:space="preserve">COUT DE TRANSPORT </t>
  </si>
  <si>
    <t>Capacité usine</t>
  </si>
  <si>
    <t>Demande entrepot</t>
  </si>
  <si>
    <t xml:space="preserve">D </t>
  </si>
  <si>
    <t>fct obj</t>
  </si>
  <si>
    <t>Quantité envoyer de l'usine i vers l'entrepot j</t>
  </si>
  <si>
    <t>Méthode 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</si>
</sst>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A8D0-7B03-4570-B0E9-29DFBC1F3F85}">
  <dimension ref="A1:A8"/>
  <sheetViews>
    <sheetView workbookViewId="0">
      <selection activeCell="A11" sqref="A11"/>
    </sheetView>
  </sheetViews>
  <sheetFormatPr baseColWidth="10" defaultRowHeight="14.4" x14ac:dyDescent="0.3"/>
  <cols>
    <col min="1" max="1" width="85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CA87-14AF-4BD8-9DD0-ED8997A9CDBF}">
  <dimension ref="A1:F6"/>
  <sheetViews>
    <sheetView tabSelected="1" workbookViewId="0">
      <selection activeCell="F10" sqref="F10"/>
    </sheetView>
  </sheetViews>
  <sheetFormatPr baseColWidth="10" defaultRowHeight="14.4" x14ac:dyDescent="0.3"/>
  <sheetData>
    <row r="1" spans="1:6" x14ac:dyDescent="0.3">
      <c r="A1" s="3" t="s">
        <v>22</v>
      </c>
      <c r="B1" s="6"/>
      <c r="C1" s="6"/>
      <c r="D1" s="6"/>
      <c r="E1" s="4"/>
    </row>
    <row r="2" spans="1:6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</row>
    <row r="3" spans="1:6" x14ac:dyDescent="0.3">
      <c r="A3" s="1" t="s">
        <v>13</v>
      </c>
      <c r="B3" s="1">
        <v>100000</v>
      </c>
      <c r="C3" s="1">
        <v>300000</v>
      </c>
      <c r="D3" s="1"/>
      <c r="E3" s="1"/>
      <c r="F3" s="1">
        <v>400000</v>
      </c>
    </row>
    <row r="4" spans="1:6" x14ac:dyDescent="0.3">
      <c r="A4" s="1" t="s">
        <v>14</v>
      </c>
      <c r="B4" s="1"/>
      <c r="C4" s="1">
        <v>200000</v>
      </c>
      <c r="D4" s="1">
        <v>100000</v>
      </c>
      <c r="E4" s="1"/>
      <c r="F4" s="1">
        <v>300000</v>
      </c>
    </row>
    <row r="5" spans="1:6" x14ac:dyDescent="0.3">
      <c r="A5" s="1" t="s">
        <v>15</v>
      </c>
      <c r="B5" s="1"/>
      <c r="C5" s="1"/>
      <c r="D5" s="1"/>
      <c r="E5" s="1">
        <v>300000</v>
      </c>
      <c r="F5" s="1">
        <v>300000</v>
      </c>
    </row>
    <row r="6" spans="1:6" x14ac:dyDescent="0.3">
      <c r="A6" s="7"/>
      <c r="B6" s="5">
        <v>100000</v>
      </c>
      <c r="C6" s="5">
        <v>500000</v>
      </c>
      <c r="D6" s="5">
        <v>100000</v>
      </c>
      <c r="E6" s="5">
        <v>300000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8350-4BFB-4A89-A91D-966B45E7244B}">
  <dimension ref="A1:Q14"/>
  <sheetViews>
    <sheetView workbookViewId="0">
      <selection activeCell="L9" sqref="L9:Q14"/>
    </sheetView>
  </sheetViews>
  <sheetFormatPr baseColWidth="10" defaultRowHeight="14.4" x14ac:dyDescent="0.3"/>
  <sheetData>
    <row r="1" spans="1:1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G1" s="1" t="s">
        <v>13</v>
      </c>
      <c r="H1" s="1">
        <v>400000</v>
      </c>
      <c r="J1" s="1" t="s">
        <v>9</v>
      </c>
      <c r="K1" s="1">
        <v>100000</v>
      </c>
    </row>
    <row r="2" spans="1:17" x14ac:dyDescent="0.3">
      <c r="A2" s="1" t="s">
        <v>13</v>
      </c>
      <c r="B2" s="1">
        <v>3</v>
      </c>
      <c r="C2" s="1">
        <v>1.5</v>
      </c>
      <c r="D2" s="1">
        <v>2.5</v>
      </c>
      <c r="E2" s="1">
        <v>2</v>
      </c>
      <c r="G2" s="1" t="s">
        <v>14</v>
      </c>
      <c r="H2" s="1">
        <v>300000</v>
      </c>
      <c r="J2" s="1" t="s">
        <v>10</v>
      </c>
      <c r="K2" s="1">
        <v>500000</v>
      </c>
    </row>
    <row r="3" spans="1:17" x14ac:dyDescent="0.3">
      <c r="A3" s="1" t="s">
        <v>14</v>
      </c>
      <c r="B3" s="1">
        <v>1</v>
      </c>
      <c r="C3" s="1">
        <v>0.5</v>
      </c>
      <c r="D3" s="1">
        <v>2</v>
      </c>
      <c r="E3" s="1">
        <v>1.5</v>
      </c>
      <c r="G3" s="1" t="s">
        <v>15</v>
      </c>
      <c r="H3" s="1">
        <v>300000</v>
      </c>
      <c r="J3" s="1" t="s">
        <v>11</v>
      </c>
      <c r="K3" s="1">
        <v>100000</v>
      </c>
    </row>
    <row r="4" spans="1:17" x14ac:dyDescent="0.3">
      <c r="A4" s="1" t="s">
        <v>15</v>
      </c>
      <c r="B4" s="1">
        <v>2</v>
      </c>
      <c r="C4" s="1">
        <v>2.2000000000000002</v>
      </c>
      <c r="D4" s="1">
        <v>1.5</v>
      </c>
      <c r="E4" s="1">
        <v>3</v>
      </c>
      <c r="G4" s="3" t="s">
        <v>17</v>
      </c>
      <c r="H4" s="4"/>
      <c r="J4" s="5" t="s">
        <v>19</v>
      </c>
      <c r="K4" s="5">
        <v>300000</v>
      </c>
    </row>
    <row r="5" spans="1:17" x14ac:dyDescent="0.3">
      <c r="A5" s="2" t="s">
        <v>16</v>
      </c>
      <c r="B5" s="2"/>
      <c r="C5" s="2"/>
      <c r="D5" s="2"/>
      <c r="E5" s="2"/>
      <c r="J5" s="3" t="s">
        <v>18</v>
      </c>
      <c r="K5" s="4"/>
    </row>
    <row r="9" spans="1:17" x14ac:dyDescent="0.3">
      <c r="A9" t="s">
        <v>20</v>
      </c>
      <c r="B9">
        <f>SUMPRODUCT(B2:E4,M11:P13)</f>
        <v>1470000</v>
      </c>
      <c r="L9" s="3" t="s">
        <v>21</v>
      </c>
      <c r="M9" s="6"/>
      <c r="N9" s="6"/>
      <c r="O9" s="6"/>
      <c r="P9" s="4"/>
    </row>
    <row r="10" spans="1:17" x14ac:dyDescent="0.3">
      <c r="L10" s="1" t="s">
        <v>8</v>
      </c>
      <c r="M10" s="1" t="s">
        <v>9</v>
      </c>
      <c r="N10" s="1" t="s">
        <v>10</v>
      </c>
      <c r="O10" s="1" t="s">
        <v>11</v>
      </c>
      <c r="P10" s="1" t="s">
        <v>12</v>
      </c>
      <c r="Q10" s="1"/>
    </row>
    <row r="11" spans="1:17" x14ac:dyDescent="0.3">
      <c r="L11" s="1" t="s">
        <v>13</v>
      </c>
      <c r="M11" s="1">
        <v>0</v>
      </c>
      <c r="N11" s="1">
        <v>100000</v>
      </c>
      <c r="O11" s="1">
        <v>0</v>
      </c>
      <c r="P11" s="1">
        <v>300000</v>
      </c>
      <c r="Q11" s="1">
        <f>SUM(M11:P11)</f>
        <v>400000</v>
      </c>
    </row>
    <row r="12" spans="1:17" x14ac:dyDescent="0.3">
      <c r="L12" s="1" t="s">
        <v>14</v>
      </c>
      <c r="M12" s="1">
        <v>0</v>
      </c>
      <c r="N12" s="1">
        <v>300000</v>
      </c>
      <c r="O12" s="1">
        <v>0</v>
      </c>
      <c r="P12" s="1">
        <v>0</v>
      </c>
      <c r="Q12" s="1">
        <f t="shared" ref="Q12:Q13" si="0">SUM(M12:P12)</f>
        <v>300000</v>
      </c>
    </row>
    <row r="13" spans="1:17" x14ac:dyDescent="0.3">
      <c r="L13" s="1" t="s">
        <v>15</v>
      </c>
      <c r="M13" s="1">
        <v>100000</v>
      </c>
      <c r="N13" s="1">
        <v>100000</v>
      </c>
      <c r="O13" s="1">
        <v>100000</v>
      </c>
      <c r="P13" s="1">
        <v>0</v>
      </c>
      <c r="Q13" s="1">
        <f>SUM(M13:P13)</f>
        <v>300000</v>
      </c>
    </row>
    <row r="14" spans="1:17" x14ac:dyDescent="0.3">
      <c r="L14" s="7"/>
      <c r="M14" s="5">
        <f>SUM(M11:M13)</f>
        <v>100000</v>
      </c>
      <c r="N14" s="5">
        <f t="shared" ref="N14:P14" si="1">SUM(N11:N13)</f>
        <v>500000</v>
      </c>
      <c r="O14" s="5">
        <f t="shared" si="1"/>
        <v>100000</v>
      </c>
      <c r="P14" s="5">
        <f>SUM(P11:P13)</f>
        <v>300000</v>
      </c>
    </row>
  </sheetData>
  <mergeCells count="4">
    <mergeCell ref="A5:E5"/>
    <mergeCell ref="G4:H4"/>
    <mergeCell ref="J5:K5"/>
    <mergeCell ref="L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modèle mathématique</vt:lpstr>
      <vt:lpstr>Méthode manuelle</vt:lpstr>
      <vt:lpstr>solveur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Yazid abou el qassim</dc:creator>
  <cp:lastModifiedBy>Yazid ABOU EL QASSIME</cp:lastModifiedBy>
  <dcterms:created xsi:type="dcterms:W3CDTF">2024-04-15T15:08:38Z</dcterms:created>
  <dcterms:modified xsi:type="dcterms:W3CDTF">2024-04-15T16:11:00Z</dcterms:modified>
</cp:coreProperties>
</file>